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 tabRatio="500" activeTab="1"/>
  </bookViews>
  <sheets>
    <sheet name="Overview" sheetId="1" r:id="rId1"/>
    <sheet name="Sprint 1 (Milestone 1)" sheetId="2" r:id="rId2"/>
    <sheet name="Sprint 2 (Milestone 2)" sheetId="3" r:id="rId3"/>
    <sheet name="Sprint 3 (Milestone 3)" sheetId="4" r:id="rId4"/>
    <sheet name="Sprint 4 (Milestone 4)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<sst xmlns="http://schemas.openxmlformats.org/spreadsheetml/2006/main" count="179" uniqueCount="141">
  <si>
    <t>SalesGenie AI — Sprint Plan &amp; Effort Tracker (All 4 Milestones)</t>
  </si>
  <si>
    <t>AI Sales Assistant &amp; Lead Intelligence Platform</t>
  </si>
  <si>
    <t>Hours per working day (assumption)</t>
  </si>
  <si>
    <t>← edit this cell; all sprint sheets recalculate automatically</t>
  </si>
  <si>
    <t>Note: hours = task duration in days × hours/day above. For tasks with two co-owners (e.g. “Frontend Developer + AI/ML Engineer”), each named owner is credited the full task hours in the Hours Summary sheet (i.e. hours are not split between them) — both people are actively engaged for the task's full duration.</t>
  </si>
  <si>
    <t>Milestone</t>
  </si>
  <si>
    <t>Day Range</t>
  </si>
  <si>
    <t>Start Date</t>
  </si>
  <si>
    <t>End Date</t>
  </si>
  <si>
    <t>Modules Covered</t>
  </si>
  <si>
    <t>Evaluation Criteria</t>
  </si>
  <si>
    <t>Milestone 1</t>
  </si>
  <si>
    <t>Day 4-14</t>
  </si>
  <si>
    <t>2026-07-18</t>
  </si>
  <si>
    <t>2026-07-28</t>
  </si>
  <si>
    <t>Module 1 (Lead Management) + Module 2 (Lead Intelligence)</t>
  </si>
  <si>
    <t>Manage/analyze ≥95% of prospect records; accurate company insights &amp; lead intelligence</t>
  </si>
  <si>
    <t>Milestone 2</t>
  </si>
  <si>
    <t>Day 15-20</t>
  </si>
  <si>
    <t>2026-07-29</t>
  </si>
  <si>
    <t>2026-08-03</t>
  </si>
  <si>
    <t>Module 3 (AI Outreach) + Module 4 (Lead Scoring)</t>
  </si>
  <si>
    <t>Lead scoring accuracy ≥85%; personalized outreach content for multiple industries</t>
  </si>
  <si>
    <t>Milestone 3</t>
  </si>
  <si>
    <t>Day 21-25</t>
  </si>
  <si>
    <t>2026-08-04</t>
  </si>
  <si>
    <t>2026-08-08</t>
  </si>
  <si>
    <t>Module 5 (CRM Integration &amp; Conversation Intelligence)</t>
  </si>
  <si>
    <t>CRM integration functions correctly; sales conversation summaries generated successfully</t>
  </si>
  <si>
    <t>Milestone 4</t>
  </si>
  <si>
    <t>Day 26-30</t>
  </si>
  <si>
    <t>2026-08-09</t>
  </si>
  <si>
    <t>2026-08-13</t>
  </si>
  <si>
    <t>Module 6 (Dashboard &amp; Analytics) + Full Integration</t>
  </si>
  <si>
    <t>Dashboard fully operational; end-to-end workflow functional; response time &lt;5 sec; satisfaction ≥85%</t>
  </si>
  <si>
    <t>SalesGenie AI — Sprint 1 (Milestone 1)</t>
  </si>
  <si>
    <t>Day(s)</t>
  </si>
  <si>
    <t>Task</t>
  </si>
  <si>
    <t>Owner (Role)</t>
  </si>
  <si>
    <t>Duration (Days)</t>
  </si>
  <si>
    <t>Hours</t>
  </si>
  <si>
    <t>Deliverable</t>
  </si>
  <si>
    <t>Day 4</t>
  </si>
  <si>
    <t>Design ER diagram &amp; finalize PostgreSQL schema (Leads, Users, CRM_Sync_Logs)</t>
  </si>
  <si>
    <t>Database/DevOps Engineer</t>
  </si>
  <si>
    <t>Finalized schema + migrations</t>
  </si>
  <si>
    <t>Day 5</t>
  </si>
  <si>
    <t>Design Streamlit wireframes (Leads, Outreach, Conversations, Dashboard tabs)</t>
  </si>
  <si>
    <t>Frontend Developer</t>
  </si>
  <si>
    <t>UI wireframes</t>
  </si>
  <si>
    <t>Day 6</t>
  </si>
  <si>
    <t>Design LangGraph agent architecture (Research, Qualification, Outreach, CRM agents)</t>
  </si>
  <si>
    <t>AI/ML Engineer</t>
  </si>
  <si>
    <t>Agent architecture diagram</t>
  </si>
  <si>
    <t>Day 7-8</t>
  </si>
  <si>
    <t>Build prospect CRUD APIs (module1_leads.py)</t>
  </si>
  <si>
    <t>Backend Developer</t>
  </si>
  <si>
    <t>FastAPI CRUD endpoints</t>
  </si>
  <si>
    <t>Day 8-9</t>
  </si>
  <si>
    <t>Build lead import (CSV/manual) with de-duplication</t>
  </si>
  <si>
    <t>Lead import module</t>
  </si>
  <si>
    <t>Day 9-10</t>
  </si>
  <si>
    <t>Build Streamlit 'Leads' tab (search list + detail panel)</t>
  </si>
  <si>
    <t>Leads UI screen</t>
  </si>
  <si>
    <t>Day 10-11</t>
  </si>
  <si>
    <t>Build company profile analysis service (module2_intelligence.py)</t>
  </si>
  <si>
    <t>Company analysis service</t>
  </si>
  <si>
    <t>Day 11-12</t>
  </si>
  <si>
    <t>Build AI qualification scoring engine + Lead Intelligence card</t>
  </si>
  <si>
    <t>Qualification score API</t>
  </si>
  <si>
    <t>Day 12</t>
  </si>
  <si>
    <t>Integrate Lead Intelligence into Leads UI (score badge, insights panel)</t>
  </si>
  <si>
    <t>Frontend Developer + AI/ML Engineer</t>
  </si>
  <si>
    <t>Lead Intelligence UI panel</t>
  </si>
  <si>
    <t>Day 13</t>
  </si>
  <si>
    <t>Unit test lead CRUD + review qualification score accuracy</t>
  </si>
  <si>
    <t>QA Engineer</t>
  </si>
  <si>
    <t>Milestone 1 test report</t>
  </si>
  <si>
    <t>Day 14</t>
  </si>
  <si>
    <t>Milestone 1 review: ≥95% records manageable, insights accuracy check; sign-off</t>
  </si>
  <si>
    <t>Project Lead + QA Engineer</t>
  </si>
  <si>
    <t>Milestone 1 sign-off</t>
  </si>
  <si>
    <t>TOTAL</t>
  </si>
  <si>
    <t>SalesGenie AI — Sprint 2 (Milestone 2)</t>
  </si>
  <si>
    <t>Day 15-16</t>
  </si>
  <si>
    <t>Build AI email/outreach generation service (prompt templates per industry)</t>
  </si>
  <si>
    <t>Outreach generation API</t>
  </si>
  <si>
    <t>Day 16-17</t>
  </si>
  <si>
    <t>Build Streamlit 'Outreach' tab: AI Email Generator with edit-before-send</t>
  </si>
  <si>
    <t>Outreach UI screen</t>
  </si>
  <si>
    <t>Day 17-18</t>
  </si>
  <si>
    <t>Implement lead scoring &amp; conversion probability model</t>
  </si>
  <si>
    <t>AI/ML Engineer + Backend Developer</t>
  </si>
  <si>
    <t>Lead scoring engine</t>
  </si>
  <si>
    <t>Day 18-19</t>
  </si>
  <si>
    <t>Build recommendation engine: follow-up timing, channel mix, content strategy</t>
  </si>
  <si>
    <t>Recommendation engine service</t>
  </si>
  <si>
    <t>Day 19</t>
  </si>
  <si>
    <t>Integrate Lead Score + Outreach Strategy cards into Outreach UI</t>
  </si>
  <si>
    <t>Outreach Strategy UI panel</t>
  </si>
  <si>
    <t>Day 20</t>
  </si>
  <si>
    <t>Validate lead scoring accuracy (≥85%), test outreach across 3+ industries; sign-off</t>
  </si>
  <si>
    <t>QA Engineer + Project Lead</t>
  </si>
  <si>
    <t>Milestone 2 sign-off</t>
  </si>
  <si>
    <t>SalesGenie AI — Sprint 3 (Milestone 3)</t>
  </si>
  <si>
    <t>Day 21-22</t>
  </si>
  <si>
    <t>Build FastAPI endpoints for CRM integration (Salesforce/HubSpot schema mapping)</t>
  </si>
  <si>
    <t>CRM integration API</t>
  </si>
  <si>
    <t>Day 22-23</t>
  </si>
  <si>
    <t>Implement CRM sync logic (contacts, activities, deal stages) + sync logs</t>
  </si>
  <si>
    <t>Backend Developer + Database/DevOps Engineer</t>
  </si>
  <si>
    <t>CRM sync service</t>
  </si>
  <si>
    <t>Day 23-24</t>
  </si>
  <si>
    <t>Build meeting/call summarization (key points + action items) via LLM</t>
  </si>
  <si>
    <t>Conversation summarization service</t>
  </si>
  <si>
    <t>Day 24</t>
  </si>
  <si>
    <t>Build Streamlit 'Conversations' tab: CRM Sync Status + Meeting Summary + Activity feed</t>
  </si>
  <si>
    <t>Conversations UI screen</t>
  </si>
  <si>
    <t>Day 25</t>
  </si>
  <si>
    <t>Test CRM sync across workflows, validate summarization output quality; sign-off</t>
  </si>
  <si>
    <t>Milestone 3 sign-off</t>
  </si>
  <si>
    <t>SalesGenie AI — Sprint 4 (Milestone 4)</t>
  </si>
  <si>
    <t>Day 26-27</t>
  </si>
  <si>
    <t>Build Sales Analytics API (conversion rate, pipeline value, sales cycle KPIs)</t>
  </si>
  <si>
    <t>Analytics API</t>
  </si>
  <si>
    <t>Build Dashboard UI + Kanban-style pipeline view</t>
  </si>
  <si>
    <t>Dashboard tab (Streamlit)</t>
  </si>
  <si>
    <t>Day 27</t>
  </si>
  <si>
    <t>Build automated follow-up recommendation panel</t>
  </si>
  <si>
    <t>AI/ML Engineer + Frontend Developer</t>
  </si>
  <si>
    <t>Follow-up panel</t>
  </si>
  <si>
    <t>Day 28</t>
  </si>
  <si>
    <t>End-to-end integration of all 6 modules; performance tuning (&lt;5 sec target)</t>
  </si>
  <si>
    <t>Full Team</t>
  </si>
  <si>
    <t>Integrated end-to-end build</t>
  </si>
  <si>
    <t>Day 29</t>
  </si>
  <si>
    <t>Full regression testing, UAT with sample users, capture satisfaction score</t>
  </si>
  <si>
    <t>UAT report + test sign-off</t>
  </si>
  <si>
    <t>Day 30</t>
  </si>
  <si>
    <t>Deploy to production/staging (Docker), final demo, documentation handover, retrospective</t>
  </si>
  <si>
    <t>Deployed app + final demo + closure doc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</si>
</sst>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28">
    <font>
      <sz val="11"/>
      <color theme="1"/>
      <name val="Calibri"/>
      <charset val="1"/>
    </font>
    <font>
      <b/>
      <sz val="16"/>
      <color rgb="FF1F3864"/>
      <name val="Arial"/>
      <charset val="1"/>
    </font>
    <font>
      <b/>
      <sz val="11"/>
      <color rgb="FFFFFFFF"/>
      <name val="Arial"/>
      <charset val="1"/>
    </font>
    <font>
      <sz val="10.5"/>
      <name val="Arial"/>
      <charset val="1"/>
    </font>
    <font>
      <b/>
      <sz val="11"/>
      <name val="Arial"/>
      <charset val="1"/>
    </font>
    <font>
      <i/>
      <sz val="11"/>
      <color rgb="FF666666"/>
      <name val="Arial"/>
      <charset val="1"/>
    </font>
    <font>
      <b/>
      <sz val="11"/>
      <color rgb="FF0000FF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7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Border="0" applyAlignment="0" applyProtection="0"/>
    <xf numFmtId="177" fontId="7" fillId="0" borderId="0" applyBorder="0" applyAlignment="0" applyProtection="0"/>
    <xf numFmtId="9" fontId="7" fillId="0" borderId="0" applyBorder="0" applyAlignment="0" applyProtection="0"/>
    <xf numFmtId="178" fontId="7" fillId="0" borderId="0" applyBorder="0" applyAlignment="0" applyProtection="0"/>
    <xf numFmtId="179" fontId="7" fillId="0" borderId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Border="1"/>
    <xf numFmtId="0" fontId="4" fillId="0" borderId="0" xfId="0" applyFont="1"/>
    <xf numFmtId="0" fontId="6" fillId="4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DCE6F7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66"/>
      <rgbColor rgb="00969696"/>
      <rgbColor rgb="001F386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G13"/>
  <sheetViews>
    <sheetView showGridLines="0" workbookViewId="0">
      <selection activeCell="J12" sqref="J12"/>
    </sheetView>
  </sheetViews>
  <sheetFormatPr defaultColWidth="8.67592592592593" defaultRowHeight="14.4" outlineLevelCol="6"/>
  <cols>
    <col min="1" max="1" width="3" customWidth="1"/>
    <col min="2" max="2" width="39.1111111111111" customWidth="1"/>
    <col min="3" max="3" width="11" customWidth="1"/>
    <col min="4" max="5" width="12" customWidth="1"/>
    <col min="6" max="6" width="34" customWidth="1"/>
    <col min="7" max="7" width="46" customWidth="1"/>
  </cols>
  <sheetData>
    <row r="2" ht="21" spans="1:7">
      <c r="B2" s="1" t="s">
        <v>0</v>
      </c>
      <c r="C2" s="1"/>
      <c r="D2" s="1"/>
      <c r="E2" s="1"/>
      <c r="F2" s="1"/>
      <c r="G2" s="1"/>
    </row>
    <row r="3" spans="1:7">
      <c r="B3" s="6" t="s">
        <v>1</v>
      </c>
      <c r="C3" s="6"/>
      <c r="D3" s="6"/>
      <c r="E3" s="6"/>
      <c r="F3" s="6"/>
      <c r="G3" s="6"/>
    </row>
    <row r="5" spans="1:7">
      <c r="B5" s="7" t="s">
        <v>2</v>
      </c>
      <c r="C5" s="8">
        <v>8</v>
      </c>
      <c r="D5" s="6" t="s">
        <v>3</v>
      </c>
      <c r="E5" s="6"/>
      <c r="F5" s="6"/>
      <c r="G5" s="6"/>
    </row>
    <row r="7" ht="45" customHeight="1" spans="1:7">
      <c r="B7" s="9" t="s">
        <v>4</v>
      </c>
      <c r="C7" s="9"/>
      <c r="D7" s="9"/>
      <c r="E7" s="9"/>
      <c r="F7" s="9"/>
      <c r="G7" s="9"/>
    </row>
    <row r="9" ht="27.6" spans="1:7">
      <c r="A9" s="2"/>
      <c r="B9" s="2" t="s">
        <v>5</v>
      </c>
      <c r="C9" s="2" t="s">
        <v>6</v>
      </c>
      <c r="D9" s="2" t="s">
        <v>7</v>
      </c>
      <c r="E9" s="2" t="s">
        <v>8</v>
      </c>
      <c r="F9" s="2" t="s">
        <v>9</v>
      </c>
      <c r="G9" s="2" t="s">
        <v>10</v>
      </c>
    </row>
    <row r="10" ht="31.5" customHeight="1" spans="1:7">
      <c r="A10" s="3"/>
      <c r="B10" s="3" t="s">
        <v>11</v>
      </c>
      <c r="C10" s="3" t="s">
        <v>12</v>
      </c>
      <c r="D10" s="3" t="s">
        <v>13</v>
      </c>
      <c r="E10" s="3" t="s">
        <v>14</v>
      </c>
      <c r="F10" s="3" t="s">
        <v>15</v>
      </c>
      <c r="G10" s="3" t="s">
        <v>16</v>
      </c>
    </row>
    <row r="11" ht="31.5" customHeight="1" spans="1:7">
      <c r="A11" s="3"/>
      <c r="B11" s="3" t="s">
        <v>17</v>
      </c>
      <c r="C11" s="3" t="s">
        <v>18</v>
      </c>
      <c r="D11" s="3" t="s">
        <v>19</v>
      </c>
      <c r="E11" s="3" t="s">
        <v>20</v>
      </c>
      <c r="F11" s="3" t="s">
        <v>21</v>
      </c>
      <c r="G11" s="3" t="s">
        <v>22</v>
      </c>
    </row>
    <row r="12" ht="31.5" customHeight="1" spans="1:7">
      <c r="A12" s="3"/>
      <c r="B12" s="3" t="s">
        <v>23</v>
      </c>
      <c r="C12" s="3" t="s">
        <v>24</v>
      </c>
      <c r="D12" s="3" t="s">
        <v>25</v>
      </c>
      <c r="E12" s="3" t="s">
        <v>26</v>
      </c>
      <c r="F12" s="3" t="s">
        <v>27</v>
      </c>
      <c r="G12" s="3" t="s">
        <v>28</v>
      </c>
    </row>
    <row r="13" ht="31.5" customHeight="1" spans="1:7">
      <c r="A13" s="3"/>
      <c r="B13" s="3" t="s">
        <v>29</v>
      </c>
      <c r="C13" s="3" t="s">
        <v>30</v>
      </c>
      <c r="D13" s="3" t="s">
        <v>31</v>
      </c>
      <c r="E13" s="3" t="s">
        <v>32</v>
      </c>
      <c r="F13" s="3" t="s">
        <v>33</v>
      </c>
      <c r="G13" s="3" t="s">
        <v>34</v>
      </c>
    </row>
  </sheetData>
  <mergeCells count="4">
    <mergeCell ref="B2:G2"/>
    <mergeCell ref="B3:G3"/>
    <mergeCell ref="D5:G5"/>
    <mergeCell ref="B7:G7"/>
  </mergeCells>
  <pageMargins left="0.75" right="0.75" top="1" bottom="1" header="0.511811023622047" footer="0.511811023622047"/>
  <pageSetup paperSize="1" fitToHeight="0" orientation="landscape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G16"/>
  <sheetViews>
    <sheetView showGridLines="0" tabSelected="1" workbookViewId="0">
      <pane xSplit="1" ySplit="4" topLeftCell="B5" activePane="bottomRight" state="frozen"/>
      <selection/>
      <selection pane="topRight"/>
      <selection pane="bottomLeft"/>
      <selection pane="bottomRight" activeCell="I7" sqref="I7"/>
    </sheetView>
  </sheetViews>
  <sheetFormatPr defaultColWidth="8.67592592592593" defaultRowHeight="14.4" outlineLevelCol="6"/>
  <cols>
    <col min="1" max="1" width="3" customWidth="1"/>
    <col min="2" max="2" width="9" customWidth="1"/>
    <col min="3" max="3" width="42" customWidth="1"/>
    <col min="4" max="4" width="24" customWidth="1"/>
    <col min="5" max="5" width="11" customWidth="1"/>
    <col min="6" max="6" width="9" customWidth="1"/>
    <col min="7" max="7" width="26" customWidth="1"/>
  </cols>
  <sheetData>
    <row r="2" ht="21" spans="1:7">
      <c r="B2" s="1" t="s">
        <v>35</v>
      </c>
      <c r="C2" s="1"/>
      <c r="D2" s="1"/>
      <c r="E2" s="1"/>
      <c r="F2" s="1"/>
      <c r="G2" s="1"/>
    </row>
    <row r="4" ht="27.6" spans="1:7">
      <c r="A4" s="2"/>
      <c r="B4" s="2" t="s">
        <v>36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41</v>
      </c>
    </row>
    <row r="5" ht="33.75" customHeight="1" spans="1:7">
      <c r="A5" s="3"/>
      <c r="B5" s="3" t="s">
        <v>42</v>
      </c>
      <c r="C5" s="3" t="s">
        <v>43</v>
      </c>
      <c r="D5" s="3" t="s">
        <v>44</v>
      </c>
      <c r="E5" s="4">
        <v>1</v>
      </c>
      <c r="F5" s="4">
        <f>E5*Overview!$C$5</f>
        <v>8</v>
      </c>
      <c r="G5" s="3" t="s">
        <v>45</v>
      </c>
    </row>
    <row r="6" ht="33.75" customHeight="1" spans="1:7">
      <c r="A6" s="3"/>
      <c r="B6" s="3" t="s">
        <v>46</v>
      </c>
      <c r="C6" s="3" t="s">
        <v>47</v>
      </c>
      <c r="D6" s="3" t="s">
        <v>48</v>
      </c>
      <c r="E6" s="4">
        <v>1</v>
      </c>
      <c r="F6" s="4">
        <f>E6*Overview!$C$5</f>
        <v>8</v>
      </c>
      <c r="G6" s="3" t="s">
        <v>49</v>
      </c>
    </row>
    <row r="7" ht="44" customHeight="1" spans="1:7">
      <c r="A7" s="3"/>
      <c r="B7" s="3" t="s">
        <v>50</v>
      </c>
      <c r="C7" s="3" t="s">
        <v>51</v>
      </c>
      <c r="D7" s="3" t="s">
        <v>52</v>
      </c>
      <c r="E7" s="4">
        <v>1</v>
      </c>
      <c r="F7" s="4">
        <f>E7*Overview!$C$5</f>
        <v>8</v>
      </c>
      <c r="G7" s="3" t="s">
        <v>53</v>
      </c>
    </row>
    <row r="8" ht="33.75" customHeight="1" spans="1:7">
      <c r="A8" s="3"/>
      <c r="B8" s="3" t="s">
        <v>54</v>
      </c>
      <c r="C8" s="3" t="s">
        <v>55</v>
      </c>
      <c r="D8" s="3" t="s">
        <v>56</v>
      </c>
      <c r="E8" s="4">
        <v>2</v>
      </c>
      <c r="F8" s="4">
        <f>E8*Overview!$C$5</f>
        <v>16</v>
      </c>
      <c r="G8" s="3" t="s">
        <v>57</v>
      </c>
    </row>
    <row r="9" ht="33.75" customHeight="1" spans="1:7">
      <c r="A9" s="3"/>
      <c r="B9" s="3" t="s">
        <v>58</v>
      </c>
      <c r="C9" s="3" t="s">
        <v>59</v>
      </c>
      <c r="D9" s="3" t="s">
        <v>56</v>
      </c>
      <c r="E9" s="4">
        <v>2</v>
      </c>
      <c r="F9" s="4">
        <f>E9*Overview!$C$5</f>
        <v>16</v>
      </c>
      <c r="G9" s="3" t="s">
        <v>60</v>
      </c>
    </row>
    <row r="10" ht="33.75" customHeight="1" spans="1:7">
      <c r="A10" s="3"/>
      <c r="B10" s="3" t="s">
        <v>61</v>
      </c>
      <c r="C10" s="3" t="s">
        <v>62</v>
      </c>
      <c r="D10" s="3" t="s">
        <v>48</v>
      </c>
      <c r="E10" s="4">
        <v>2</v>
      </c>
      <c r="F10" s="4">
        <f>E10*Overview!$C$5</f>
        <v>16</v>
      </c>
      <c r="G10" s="3" t="s">
        <v>63</v>
      </c>
    </row>
    <row r="11" ht="33.75" customHeight="1" spans="1:7">
      <c r="A11" s="3"/>
      <c r="B11" s="3" t="s">
        <v>64</v>
      </c>
      <c r="C11" s="3" t="s">
        <v>65</v>
      </c>
      <c r="D11" s="3" t="s">
        <v>52</v>
      </c>
      <c r="E11" s="4">
        <v>2</v>
      </c>
      <c r="F11" s="4">
        <f>E11*Overview!$C$5</f>
        <v>16</v>
      </c>
      <c r="G11" s="3" t="s">
        <v>66</v>
      </c>
    </row>
    <row r="12" ht="33.75" customHeight="1" spans="1:7">
      <c r="A12" s="3"/>
      <c r="B12" s="3" t="s">
        <v>67</v>
      </c>
      <c r="C12" s="3" t="s">
        <v>68</v>
      </c>
      <c r="D12" s="3" t="s">
        <v>52</v>
      </c>
      <c r="E12" s="4">
        <v>2</v>
      </c>
      <c r="F12" s="4">
        <f>E12*Overview!$C$5</f>
        <v>16</v>
      </c>
      <c r="G12" s="3" t="s">
        <v>69</v>
      </c>
    </row>
    <row r="13" ht="33.75" customHeight="1" spans="1:7">
      <c r="A13" s="3"/>
      <c r="B13" s="3" t="s">
        <v>70</v>
      </c>
      <c r="C13" s="3" t="s">
        <v>71</v>
      </c>
      <c r="D13" s="3" t="s">
        <v>72</v>
      </c>
      <c r="E13" s="4">
        <v>1</v>
      </c>
      <c r="F13" s="4">
        <f>E13*Overview!$C$5</f>
        <v>8</v>
      </c>
      <c r="G13" s="3" t="s">
        <v>73</v>
      </c>
    </row>
    <row r="14" ht="33.75" customHeight="1" spans="1:7">
      <c r="A14" s="3"/>
      <c r="B14" s="3" t="s">
        <v>74</v>
      </c>
      <c r="C14" s="3" t="s">
        <v>75</v>
      </c>
      <c r="D14" s="3" t="s">
        <v>76</v>
      </c>
      <c r="E14" s="4">
        <v>1</v>
      </c>
      <c r="F14" s="4">
        <f>E14*Overview!$C$5</f>
        <v>8</v>
      </c>
      <c r="G14" s="3" t="s">
        <v>77</v>
      </c>
    </row>
    <row r="15" ht="33.75" customHeight="1" spans="1:7">
      <c r="A15" s="3"/>
      <c r="B15" s="3" t="s">
        <v>78</v>
      </c>
      <c r="C15" s="3" t="s">
        <v>79</v>
      </c>
      <c r="D15" s="3" t="s">
        <v>80</v>
      </c>
      <c r="E15" s="4">
        <v>1</v>
      </c>
      <c r="F15" s="4">
        <f>E15*Overview!$C$5</f>
        <v>8</v>
      </c>
      <c r="G15" s="3" t="s">
        <v>81</v>
      </c>
    </row>
    <row r="16" spans="1:7">
      <c r="C16" s="5" t="s">
        <v>82</v>
      </c>
      <c r="E16" s="5">
        <f>SUM(E5:E15)</f>
        <v>16</v>
      </c>
      <c r="F16" s="5">
        <f>SUM(F5:F15)</f>
        <v>128</v>
      </c>
    </row>
  </sheetData>
  <mergeCells count="1">
    <mergeCell ref="B2:G2"/>
  </mergeCells>
  <pageMargins left="0.75" right="0.75" top="1" bottom="1" header="0.511811023622047" footer="0.511811023622047"/>
  <pageSetup paperSize="1" fitToHeight="0" orientation="landscape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G11"/>
  <sheetViews>
    <sheetView showGridLines="0" workbookViewId="0">
      <pane xSplit="1" ySplit="4" topLeftCell="B5" activePane="bottomRight" state="frozen"/>
      <selection/>
      <selection pane="topRight"/>
      <selection pane="bottomLeft"/>
      <selection pane="bottomRight" activeCell="K11" sqref="K11"/>
    </sheetView>
  </sheetViews>
  <sheetFormatPr defaultColWidth="8.67592592592593" defaultRowHeight="14.4" outlineLevelCol="6"/>
  <cols>
    <col min="1" max="1" width="3" customWidth="1"/>
    <col min="2" max="2" width="9" customWidth="1"/>
    <col min="3" max="3" width="42" customWidth="1"/>
    <col min="4" max="4" width="24" customWidth="1"/>
    <col min="5" max="5" width="11" customWidth="1"/>
    <col min="6" max="6" width="9" customWidth="1"/>
    <col min="7" max="7" width="26" customWidth="1"/>
  </cols>
  <sheetData>
    <row r="2" ht="21" spans="1:7">
      <c r="B2" s="1" t="s">
        <v>83</v>
      </c>
      <c r="C2" s="1"/>
      <c r="D2" s="1"/>
      <c r="E2" s="1"/>
      <c r="F2" s="1"/>
      <c r="G2" s="1"/>
    </row>
    <row r="4" ht="27.6" spans="1:7">
      <c r="A4" s="2"/>
      <c r="B4" s="2" t="s">
        <v>36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41</v>
      </c>
    </row>
    <row r="5" ht="33.75" customHeight="1" spans="1:7">
      <c r="A5" s="3"/>
      <c r="B5" s="3" t="s">
        <v>84</v>
      </c>
      <c r="C5" s="3" t="s">
        <v>85</v>
      </c>
      <c r="D5" s="3" t="s">
        <v>52</v>
      </c>
      <c r="E5" s="4">
        <v>2</v>
      </c>
      <c r="F5" s="4">
        <f>E5*Overview!$C$5</f>
        <v>16</v>
      </c>
      <c r="G5" s="3" t="s">
        <v>86</v>
      </c>
    </row>
    <row r="6" ht="33.75" customHeight="1" spans="1:7">
      <c r="A6" s="3"/>
      <c r="B6" s="3" t="s">
        <v>87</v>
      </c>
      <c r="C6" s="3" t="s">
        <v>88</v>
      </c>
      <c r="D6" s="3" t="s">
        <v>48</v>
      </c>
      <c r="E6" s="4">
        <v>2</v>
      </c>
      <c r="F6" s="4">
        <f>E6*Overview!$C$5</f>
        <v>16</v>
      </c>
      <c r="G6" s="3" t="s">
        <v>89</v>
      </c>
    </row>
    <row r="7" ht="33.75" customHeight="1" spans="1:7">
      <c r="A7" s="3"/>
      <c r="B7" s="3" t="s">
        <v>90</v>
      </c>
      <c r="C7" s="3" t="s">
        <v>91</v>
      </c>
      <c r="D7" s="3" t="s">
        <v>92</v>
      </c>
      <c r="E7" s="4">
        <v>2</v>
      </c>
      <c r="F7" s="4">
        <f>E7*Overview!$C$5</f>
        <v>16</v>
      </c>
      <c r="G7" s="3" t="s">
        <v>93</v>
      </c>
    </row>
    <row r="8" ht="33.75" customHeight="1" spans="1:7">
      <c r="A8" s="3"/>
      <c r="B8" s="3" t="s">
        <v>94</v>
      </c>
      <c r="C8" s="3" t="s">
        <v>95</v>
      </c>
      <c r="D8" s="3" t="s">
        <v>52</v>
      </c>
      <c r="E8" s="4">
        <v>2</v>
      </c>
      <c r="F8" s="4">
        <f>E8*Overview!$C$5</f>
        <v>16</v>
      </c>
      <c r="G8" s="3" t="s">
        <v>96</v>
      </c>
    </row>
    <row r="9" ht="33.75" customHeight="1" spans="1:7">
      <c r="A9" s="3"/>
      <c r="B9" s="3" t="s">
        <v>97</v>
      </c>
      <c r="C9" s="3" t="s">
        <v>98</v>
      </c>
      <c r="D9" s="3" t="s">
        <v>48</v>
      </c>
      <c r="E9" s="4">
        <v>1</v>
      </c>
      <c r="F9" s="4">
        <f>E9*Overview!$C$5</f>
        <v>8</v>
      </c>
      <c r="G9" s="3" t="s">
        <v>99</v>
      </c>
    </row>
    <row r="10" ht="33.75" customHeight="1" spans="1:7">
      <c r="A10" s="3"/>
      <c r="B10" s="3" t="s">
        <v>100</v>
      </c>
      <c r="C10" s="3" t="s">
        <v>101</v>
      </c>
      <c r="D10" s="3" t="s">
        <v>102</v>
      </c>
      <c r="E10" s="4">
        <v>1</v>
      </c>
      <c r="F10" s="4">
        <f>E10*Overview!$C$5</f>
        <v>8</v>
      </c>
      <c r="G10" s="3" t="s">
        <v>103</v>
      </c>
    </row>
    <row r="11" spans="1:7">
      <c r="C11" s="5" t="s">
        <v>82</v>
      </c>
      <c r="E11" s="5">
        <f>SUM(E5:E10)</f>
        <v>10</v>
      </c>
      <c r="F11" s="5">
        <f>SUM(F5:F10)</f>
        <v>80</v>
      </c>
    </row>
  </sheetData>
  <mergeCells count="1">
    <mergeCell ref="B2:G2"/>
  </mergeCells>
  <pageMargins left="0.75" right="0.75" top="1" bottom="1" header="0.511811023622047" footer="0.511811023622047"/>
  <pageSetup paperSize="1" fitToHeight="0" orientation="landscape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G10"/>
  <sheetViews>
    <sheetView showGridLines="0" workbookViewId="0">
      <pane xSplit="1" ySplit="4" topLeftCell="B5" activePane="bottomRight" state="frozen"/>
      <selection/>
      <selection pane="topRight"/>
      <selection pane="bottomLeft"/>
      <selection pane="bottomRight" activeCell="A1" sqref="A1"/>
    </sheetView>
  </sheetViews>
  <sheetFormatPr defaultColWidth="8.67592592592593" defaultRowHeight="14.4" outlineLevelCol="6"/>
  <cols>
    <col min="1" max="1" width="3" customWidth="1"/>
    <col min="2" max="2" width="9" customWidth="1"/>
    <col min="3" max="3" width="42" customWidth="1"/>
    <col min="4" max="4" width="24" customWidth="1"/>
    <col min="5" max="5" width="11" customWidth="1"/>
    <col min="6" max="6" width="9" customWidth="1"/>
    <col min="7" max="7" width="26" customWidth="1"/>
  </cols>
  <sheetData>
    <row r="2" ht="21" spans="1:7">
      <c r="B2" s="1" t="s">
        <v>104</v>
      </c>
      <c r="C2" s="1"/>
      <c r="D2" s="1"/>
      <c r="E2" s="1"/>
      <c r="F2" s="1"/>
      <c r="G2" s="1"/>
    </row>
    <row r="4" ht="27.6" spans="1:7">
      <c r="A4" s="2"/>
      <c r="B4" s="2" t="s">
        <v>36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41</v>
      </c>
    </row>
    <row r="5" ht="33.75" customHeight="1" spans="1:7">
      <c r="A5" s="3"/>
      <c r="B5" s="3" t="s">
        <v>105</v>
      </c>
      <c r="C5" s="3" t="s">
        <v>106</v>
      </c>
      <c r="D5" s="3" t="s">
        <v>56</v>
      </c>
      <c r="E5" s="4">
        <v>2</v>
      </c>
      <c r="F5" s="4">
        <f>E5*Overview!$C$5</f>
        <v>16</v>
      </c>
      <c r="G5" s="3" t="s">
        <v>107</v>
      </c>
    </row>
    <row r="6" ht="33.75" customHeight="1" spans="1:7">
      <c r="A6" s="3"/>
      <c r="B6" s="3" t="s">
        <v>108</v>
      </c>
      <c r="C6" s="3" t="s">
        <v>109</v>
      </c>
      <c r="D6" s="3" t="s">
        <v>110</v>
      </c>
      <c r="E6" s="4">
        <v>2</v>
      </c>
      <c r="F6" s="4">
        <f>E6*Overview!$C$5</f>
        <v>16</v>
      </c>
      <c r="G6" s="3" t="s">
        <v>111</v>
      </c>
    </row>
    <row r="7" ht="33.75" customHeight="1" spans="1:7">
      <c r="A7" s="3"/>
      <c r="B7" s="3" t="s">
        <v>112</v>
      </c>
      <c r="C7" s="3" t="s">
        <v>113</v>
      </c>
      <c r="D7" s="3" t="s">
        <v>52</v>
      </c>
      <c r="E7" s="4">
        <v>2</v>
      </c>
      <c r="F7" s="4">
        <f>E7*Overview!$C$5</f>
        <v>16</v>
      </c>
      <c r="G7" s="3" t="s">
        <v>114</v>
      </c>
    </row>
    <row r="8" ht="33.75" customHeight="1" spans="1:7">
      <c r="A8" s="3"/>
      <c r="B8" s="3" t="s">
        <v>115</v>
      </c>
      <c r="C8" s="3" t="s">
        <v>116</v>
      </c>
      <c r="D8" s="3" t="s">
        <v>48</v>
      </c>
      <c r="E8" s="4">
        <v>1</v>
      </c>
      <c r="F8" s="4">
        <f>E8*Overview!$C$5</f>
        <v>8</v>
      </c>
      <c r="G8" s="3" t="s">
        <v>117</v>
      </c>
    </row>
    <row r="9" ht="33.75" customHeight="1" spans="1:7">
      <c r="A9" s="3"/>
      <c r="B9" s="3" t="s">
        <v>118</v>
      </c>
      <c r="C9" s="3" t="s">
        <v>119</v>
      </c>
      <c r="D9" s="3" t="s">
        <v>102</v>
      </c>
      <c r="E9" s="4">
        <v>1</v>
      </c>
      <c r="F9" s="4">
        <f>E9*Overview!$C$5</f>
        <v>8</v>
      </c>
      <c r="G9" s="3" t="s">
        <v>120</v>
      </c>
    </row>
    <row r="10" spans="1:7">
      <c r="C10" s="5" t="s">
        <v>82</v>
      </c>
      <c r="E10" s="5">
        <f>SUM(E5:E9)</f>
        <v>8</v>
      </c>
      <c r="F10" s="5">
        <f>SUM(F5:F9)</f>
        <v>64</v>
      </c>
    </row>
  </sheetData>
  <mergeCells count="1">
    <mergeCell ref="B2:G2"/>
  </mergeCells>
  <pageMargins left="0.75" right="0.75" top="1" bottom="1" header="0.511811023622047" footer="0.511811023622047"/>
  <pageSetup paperSize="1" fitToHeight="0" orientation="landscape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G11"/>
  <sheetViews>
    <sheetView showGridLines="0" workbookViewId="0">
      <pane xSplit="1" ySplit="4" topLeftCell="B5" activePane="bottomRight" state="frozen"/>
      <selection/>
      <selection pane="topRight"/>
      <selection pane="bottomLeft"/>
      <selection pane="bottomRight" activeCell="A1" sqref="A1"/>
    </sheetView>
  </sheetViews>
  <sheetFormatPr defaultColWidth="8.67592592592593" defaultRowHeight="14.4" outlineLevelCol="6"/>
  <cols>
    <col min="1" max="1" width="3" customWidth="1"/>
    <col min="2" max="2" width="9" customWidth="1"/>
    <col min="3" max="3" width="42" customWidth="1"/>
    <col min="4" max="4" width="24" customWidth="1"/>
    <col min="5" max="5" width="11" customWidth="1"/>
    <col min="6" max="6" width="9" customWidth="1"/>
    <col min="7" max="7" width="26" customWidth="1"/>
  </cols>
  <sheetData>
    <row r="2" ht="21" spans="1:7">
      <c r="B2" s="1" t="s">
        <v>121</v>
      </c>
      <c r="C2" s="1"/>
      <c r="D2" s="1"/>
      <c r="E2" s="1"/>
      <c r="F2" s="1"/>
      <c r="G2" s="1"/>
    </row>
    <row r="4" ht="27.6" spans="1:7">
      <c r="A4" s="2"/>
      <c r="B4" s="2" t="s">
        <v>36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41</v>
      </c>
    </row>
    <row r="5" ht="33.75" customHeight="1" spans="1:7">
      <c r="A5" s="3"/>
      <c r="B5" s="3" t="s">
        <v>122</v>
      </c>
      <c r="C5" s="3" t="s">
        <v>123</v>
      </c>
      <c r="D5" s="3" t="s">
        <v>56</v>
      </c>
      <c r="E5" s="4">
        <v>2</v>
      </c>
      <c r="F5" s="4">
        <f>E5*Overview!$C$5</f>
        <v>16</v>
      </c>
      <c r="G5" s="3" t="s">
        <v>124</v>
      </c>
    </row>
    <row r="6" ht="33.75" customHeight="1" spans="1:7">
      <c r="A6" s="3"/>
      <c r="B6" s="3" t="s">
        <v>122</v>
      </c>
      <c r="C6" s="3" t="s">
        <v>125</v>
      </c>
      <c r="D6" s="3" t="s">
        <v>48</v>
      </c>
      <c r="E6" s="4">
        <v>2</v>
      </c>
      <c r="F6" s="4">
        <f>E6*Overview!$C$5</f>
        <v>16</v>
      </c>
      <c r="G6" s="3" t="s">
        <v>126</v>
      </c>
    </row>
    <row r="7" ht="33.75" customHeight="1" spans="1:7">
      <c r="A7" s="3"/>
      <c r="B7" s="3" t="s">
        <v>127</v>
      </c>
      <c r="C7" s="3" t="s">
        <v>128</v>
      </c>
      <c r="D7" s="3" t="s">
        <v>129</v>
      </c>
      <c r="E7" s="4">
        <v>1</v>
      </c>
      <c r="F7" s="4">
        <f>E7*Overview!$C$5</f>
        <v>8</v>
      </c>
      <c r="G7" s="3" t="s">
        <v>130</v>
      </c>
    </row>
    <row r="8" ht="33.75" customHeight="1" spans="1:7">
      <c r="A8" s="3"/>
      <c r="B8" s="3" t="s">
        <v>131</v>
      </c>
      <c r="C8" s="3" t="s">
        <v>132</v>
      </c>
      <c r="D8" s="3" t="s">
        <v>133</v>
      </c>
      <c r="E8" s="4">
        <v>1</v>
      </c>
      <c r="F8" s="4">
        <f>E8*Overview!$C$5</f>
        <v>8</v>
      </c>
      <c r="G8" s="3" t="s">
        <v>134</v>
      </c>
    </row>
    <row r="9" ht="33.75" customHeight="1" spans="1:7">
      <c r="A9" s="3"/>
      <c r="B9" s="3" t="s">
        <v>135</v>
      </c>
      <c r="C9" s="3" t="s">
        <v>136</v>
      </c>
      <c r="D9" s="3" t="s">
        <v>76</v>
      </c>
      <c r="E9" s="4">
        <v>1</v>
      </c>
      <c r="F9" s="4">
        <f>E9*Overview!$C$5</f>
        <v>8</v>
      </c>
      <c r="G9" s="3" t="s">
        <v>137</v>
      </c>
    </row>
    <row r="10" ht="33.75" customHeight="1" spans="1:7">
      <c r="A10" s="3"/>
      <c r="B10" s="3" t="s">
        <v>138</v>
      </c>
      <c r="C10" s="3" t="s">
        <v>139</v>
      </c>
      <c r="D10" s="3" t="s">
        <v>133</v>
      </c>
      <c r="E10" s="4">
        <v>1</v>
      </c>
      <c r="F10" s="4">
        <f>E10*Overview!$C$5</f>
        <v>8</v>
      </c>
      <c r="G10" s="3" t="s">
        <v>140</v>
      </c>
    </row>
    <row r="11" spans="1:7">
      <c r="C11" s="5" t="s">
        <v>82</v>
      </c>
      <c r="E11" s="5">
        <f>SUM(E5:E10)</f>
        <v>8</v>
      </c>
      <c r="F11" s="5">
        <f>SUM(F5:F10)</f>
        <v>64</v>
      </c>
    </row>
  </sheetData>
  <mergeCells count="1">
    <mergeCell ref="B2:G2"/>
  </mergeCells>
  <pageMargins left="0.75" right="0.75" top="1" bottom="1" header="0.511811023622047" footer="0.511811023622047"/>
  <pageSetup paperSize="1" fitToHeight="0" orientation="landscape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Sprint 1 (Milestone 1)</vt:lpstr>
      <vt:lpstr>Sprint 2 (Milestone 2)</vt:lpstr>
      <vt:lpstr>Sprint 3 (Milestone 3)</vt:lpstr>
      <vt:lpstr>Sprint 4 (Milestone 4)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divib</cp:lastModifiedBy>
  <cp:revision>0</cp:revision>
  <dcterms:created xsi:type="dcterms:W3CDTF">2026-07-18T09:15:00Z</dcterms:created>
  <dcterms:modified xsi:type="dcterms:W3CDTF">2026-07-20T12:20:41Z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6F1FD005BF964BA2A59A58723CBE8BF9_12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